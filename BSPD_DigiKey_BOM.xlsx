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5acf46a78248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OM" sheetId="1" r:id="R231f2b6b478548b1"/>
    <x:sheet xmlns:r="http://schemas.openxmlformats.org/officeDocument/2006/relationships" name="Cautions" sheetId="2" r:id="Rf10b6e0af3ab499b"/>
    <x:sheet xmlns:r="http://schemas.openxmlformats.org/officeDocument/2006/relationships" name="DigiKey Upload" sheetId="3" r:id="R89ef56556ddb4e8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6">
    <x:font>
      <x:sz val="11"/>
      <x:color theme="1"/>
      <x:name val="Calibri"/>
    </x:font>
    <x:font>
      <x:b/>
      <x:sz val="11"/>
      <x:color rgb="FFFFFFFF"/>
    </x:font>
    <x:font>
      <x:b/>
    </x:font>
    <x:font>
      <x:sz val="10"/>
      <x:color theme="1"/>
      <x:name val="Arial"/>
    </x:font>
    <x:font>
      <x:b/>
      <x:sz val="10"/>
      <x:name val="Arial"/>
    </x:font>
    <x:font>
      <x:b/>
      <x:sz val="11"/>
      <x:color theme="1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CE4D6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1" fillId="2" borderId="0" xfId="0" applyAlignment="1">
      <x:alignment horizontal="center" vertical="center" wrapText="1"/>
    </x:xf>
    <x:xf numFmtId="0" fontId="0" fillId="3" borderId="1" xfId="0" applyAlignment="1">
      <x:alignment vertical="top" wrapText="1"/>
    </x:xf>
    <x:xf numFmtId="0" fontId="0" fillId="0" borderId="1" xfId="0" applyAlignment="1">
      <x:alignment vertical="top" wrapText="1"/>
    </x:xf>
    <x:xf numFmtId="0" fontId="2" fillId="0" borderId="0" xfId="0"/>
    <x:xf numFmtId="0" fontId="1" fillId="2" borderId="0" xfId="0" applyAlignment="1">
      <x:alignment vertical="center" wrapText="1"/>
    </x:xf>
    <x:xf numFmtId="0" fontId="0" fillId="4" borderId="1" xfId="0" applyAlignment="1">
      <x:alignment vertical="top" wrapText="1"/>
    </x:xf>
    <x:xf numFmtId="0" fontId="1" fillId="2" borderId="0" xfId="0"/>
    <x:xf numFmtId="0" fontId="3" fillId="3" borderId="1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200" fontId="3" fillId="5" borderId="1" xfId="0" applyNumberFormat="1" applyFont="1" applyFill="1" applyBorder="1" applyAlignment="1">
      <x:alignment vertical="top" wrapText="1"/>
    </x:xf>
    <x:xf numFmtId="200" fontId="3" fillId="5" borderId="0" xfId="0" applyNumberFormat="1" applyFont="1" applyFill="1" applyBorder="1" applyAlignment="1">
      <x:alignment vertical="top" wrapText="1"/>
    </x:xf>
    <x:xf numFmtId="200" fontId="4" fillId="5" borderId="0" xfId="0" applyNumberFormat="1" applyFont="1" applyFill="1" applyBorder="1" applyAlignment="1">
      <x:alignment vertical="top" wrapText="1"/>
    </x:xf>
    <x:xf numFmtId="200" fontId="3" fillId="6" borderId="1" xfId="0" applyNumberFormat="1" applyFont="1" applyFill="1" applyBorder="1" applyAlignment="1">
      <x:alignment vertical="top" wrapText="1"/>
    </x:xf>
    <x:xf numFmtId="0" fontId="3" fillId="6" borderId="1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c621cff0014fb0" /><Relationship Type="http://schemas.openxmlformats.org/officeDocument/2006/relationships/theme" Target="/xl/theme/theme1.xml" Id="R4cf6648682ad4e47" /><Relationship Type="http://schemas.openxmlformats.org/officeDocument/2006/relationships/sharedStrings" Target="/xl/sharedStrings.xml" Id="R5c4f87713482479a" /><Relationship Type="http://schemas.openxmlformats.org/officeDocument/2006/relationships/worksheet" Target="/xl/worksheets/sheet1.xml" Id="R231f2b6b478548b1" /><Relationship Type="http://schemas.openxmlformats.org/officeDocument/2006/relationships/worksheet" Target="/xl/worksheets/sheet2.xml" Id="Rf10b6e0af3ab499b" /><Relationship Type="http://schemas.openxmlformats.org/officeDocument/2006/relationships/worksheet" Target="/xl/worksheets/sheet3.xml" Id="R89ef56556ddb4e8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4" hidden="0" customWidth="1"/>
    <x:col min="2" max="2" width="30" hidden="0" customWidth="1"/>
    <x:col min="3" max="3" width="6" hidden="0" customWidth="1"/>
    <x:col min="4" max="4" width="14" hidden="0" customWidth="1"/>
    <x:col min="5" max="5" width="30" hidden="0" customWidth="1"/>
    <x:col min="6" max="6" width="18" hidden="0" customWidth="1"/>
    <x:col min="7" max="7" width="26" hidden="0" customWidth="1"/>
    <x:col min="8" max="8" width="20" hidden="0" customWidth="1"/>
    <x:col min="9" max="9" width="34" hidden="0" customWidth="1"/>
    <x:col min="10" max="10" width="52" hidden="0" customWidth="1"/>
  </x:cols>
  <x:sheetData>
    <x:row r="1" ht="30" customHeight="1">
      <x:c r="A1" s="1" t="inlineStr">
        <x:is>
          <x:t xml:space="preserve">#</x:t>
        </x:is>
      </x:c>
      <x:c r="B1" s="1" t="inlineStr">
        <x:is>
          <x:t xml:space="preserve">Reference(s)</x:t>
        </x:is>
      </x:c>
      <x:c r="C1" s="1" t="inlineStr">
        <x:is>
          <x:t xml:space="preserve">Qty</x:t>
        </x:is>
      </x:c>
      <x:c r="D1" s="1" t="inlineStr">
        <x:is>
          <x:t xml:space="preserve">Value</x:t>
        </x:is>
      </x:c>
      <x:c r="E1" s="1" t="inlineStr">
        <x:is>
          <x:t xml:space="preserve">Package / Footprint</x:t>
        </x:is>
      </x:c>
      <x:c r="F1" s="1" t="inlineStr">
        <x:is>
          <x:t xml:space="preserve">Manufacturer</x:t>
        </x:is>
      </x:c>
      <x:c r="G1" s="1" t="inlineStr">
        <x:is>
          <x:t xml:space="preserve">Manufacturer Part Number (MPN)</x:t>
        </x:is>
      </x:c>
      <x:c r="H1" s="1" t="inlineStr">
        <x:is>
          <x:t xml:space="preserve">DigiKey Part Number</x:t>
        </x:is>
      </x:c>
      <x:c r="I1" s="1" t="inlineStr">
        <x:is>
          <x:t xml:space="preserve">Purchasing spec / action</x:t>
        </x:is>
      </x:c>
      <x:c r="J1" s="1" t="inlineStr">
        <x:is>
          <x:t xml:space="preserve">Notes</x:t>
        </x:is>
      </x:c>
    </x:row>
    <x:row r="2" ht="92" customHeight="1">
      <x:c r="A2" s="22" t="n">
        <x:v>1</x:v>
      </x:c>
      <x:c r="B2" s="23" t="str">
        <x:v>C1,C19,C20</x:v>
      </x:c>
      <x:c r="C2" s="22" t="n">
        <x:v>3</x:v>
      </x:c>
      <x:c r="D2" s="23" t="str">
        <x:v>4.7uF</x:v>
      </x:c>
      <x:c r="E2" s="23" t="str">
        <x:v>C_0805_2012Metric_Pad1.18x1.45mm_HandSolder</x:v>
      </x:c>
      <x:c r="F2" s="23" t="str"/>
      <x:c r="G2" s="23" t="str"/>
      <x:c r="H2" s="23" t="str"/>
      <x:c r="I2" s="23" t="str">
        <x:v>Voltage: 16V; Dielectric: X7R; Tolerance: 10%; Existing BOM: TIMING CAP - X7R, 25V or 50V rating (NOT 6.3/10V); Select exact supplier part matching value and footprint.</x:v>
      </x:c>
      <x:c r="J2" s="23" t="str">
        <x:v>Sets BSP-02 startup delay (C19||C20) and the 1 s trip timer (C1). Low-voltage-rated X7R loses 30-50% capacitance under 5 V DC bias, which shifts both timings. Order 25 V+ to minimise derating, then measure.</x:v>
      </x:c>
    </x:row>
    <x:row r="3" ht="64" customHeight="1">
      <x:c r="A3" s="19" t="n">
        <x:v>2</x:v>
      </x:c>
      <x:c r="B3" s="16" t="str">
        <x:v>C2-C7</x:v>
      </x:c>
      <x:c r="C3" s="19" t="n">
        <x:v>6</x:v>
      </x:c>
      <x:c r="D3" s="16" t="str">
        <x:v>1uF</x:v>
      </x:c>
      <x:c r="E3" s="16" t="str">
        <x:v>C_0805_2012Metric_Pad1.18x1.45mm_HandSolder</x:v>
      </x:c>
      <x:c r="F3" s="16" t="str"/>
      <x:c r="G3" s="16" t="str"/>
      <x:c r="H3" s="16" t="str"/>
      <x:c r="I3" s="16" t="str">
        <x:v>Voltage: 16V; Dielectric: X7R; Tolerance: 10%; Existing BOM: X7R, 16V+; Select exact supplier part matching value and footprint.</x:v>
      </x:c>
      <x:c r="J3" s="16" t="str">
        <x:v>Comparator input filters.</x:v>
      </x:c>
    </x:row>
    <x:row r="4" ht="78" customHeight="1">
      <x:c r="A4" s="19" t="n">
        <x:v>3</x:v>
      </x:c>
      <x:c r="B4" s="16" t="str">
        <x:v>C8-C14,C17,C18,C21-C28</x:v>
      </x:c>
      <x:c r="C4" s="19" t="n">
        <x:v>17</x:v>
      </x:c>
      <x:c r="D4" s="16" t="str">
        <x:v>100nF</x:v>
      </x:c>
      <x:c r="E4" s="16" t="str">
        <x:v>C_0805_2012Metric_Pad1.18x1.45mm_HandSolder</x:v>
      </x:c>
      <x:c r="F4" s="16" t="str"/>
      <x:c r="G4" s="16" t="str"/>
      <x:c r="H4" s="16" t="str"/>
      <x:c r="I4" s="16" t="str">
        <x:v>Voltage: 16V; Dielectric: X7R; Tolerance: 10%; Existing BOM: X7R, 25V/50V; Select exact supplier part matching value and footprint.</x:v>
      </x:c>
      <x:c r="J4" s="16" t="str">
        <x:v>Decoupling. Any reputable 0805 X7R.</x:v>
      </x:c>
    </x:row>
    <x:row r="5" ht="36" customHeight="1">
      <x:c r="A5" s="19" t="n">
        <x:v>4</x:v>
      </x:c>
      <x:c r="B5" s="16" t="str">
        <x:v>C15</x:v>
      </x:c>
      <x:c r="C5" s="19" t="n">
        <x:v>1</x:v>
      </x:c>
      <x:c r="D5" s="16" t="str">
        <x:v>10uF</x:v>
      </x:c>
      <x:c r="E5" s="16" t="str">
        <x:v>C_0805_2012Metric_Pad1.18x1.45mm_HandSolder</x:v>
      </x:c>
      <x:c r="F5" s="16" t="str"/>
      <x:c r="G5" s="16" t="str"/>
      <x:c r="H5" s="16" t="str"/>
      <x:c r="I5" s="16" t="str">
        <x:v>Schematic: 25V, X7R, 10%. Select matching 0805 supplier part.</x:v>
      </x:c>
      <x:c r="J5" s="16" t="str">
        <x:v>Input capacitor. Existing BOM specifies at least 25V.</x:v>
      </x:c>
    </x:row>
    <x:row r="6" ht="50" customHeight="1">
      <x:c r="A6" s="19" t="n">
        <x:v>5</x:v>
      </x:c>
      <x:c r="B6" s="16" t="str">
        <x:v>C16</x:v>
      </x:c>
      <x:c r="C6" s="19" t="n">
        <x:v>1</x:v>
      </x:c>
      <x:c r="D6" s="16" t="str">
        <x:v>10uF</x:v>
      </x:c>
      <x:c r="E6" s="16" t="str">
        <x:v>C_0805_2012Metric_Pad1.18x1.45mm_HandSolder</x:v>
      </x:c>
      <x:c r="F6" s="16" t="str"/>
      <x:c r="G6" s="16" t="str"/>
      <x:c r="H6" s="16" t="str"/>
      <x:c r="I6" s="16" t="str">
        <x:v>Schematic: 16V, X7R, 10%. Resolve output-capacitor ESR requirement before ordering.</x:v>
      </x:c>
      <x:c r="J6" s="16" t="str">
        <x:v>Existing BOM flags LM1117 output capacitor ESR. See Cautions.</x:v>
      </x:c>
    </x:row>
    <x:row r="7" ht="36" customHeight="1">
      <x:c r="A7" s="19" t="n">
        <x:v>6</x:v>
      </x:c>
      <x:c r="B7" s="16" t="str">
        <x:v>D1,D6</x:v>
      </x:c>
      <x:c r="C7" s="19" t="n">
        <x:v>2</x:v>
      </x:c>
      <x:c r="D7" s="16" t="str">
        <x:v>1N4148W</x:v>
      </x:c>
      <x:c r="E7" s="16" t="str">
        <x:v>D_SOD-123</x:v>
      </x:c>
      <x:c r="F7" s="16" t="str">
        <x:v>Diodes Incorporated</x:v>
      </x:c>
      <x:c r="G7" s="16" t="str">
        <x:v>1N4148W-7-F</x:v>
      </x:c>
      <x:c r="H7" s="16" t="str"/>
      <x:c r="I7" s="16" t="str">
        <x:v>Match package and ordering suffix.</x:v>
      </x:c>
      <x:c r="J7" s="16" t="str">
        <x:v>MPN inferred from value - verify before ordering.</x:v>
      </x:c>
    </x:row>
    <x:row r="8" ht="36" customHeight="1">
      <x:c r="A8" s="19" t="n">
        <x:v>7</x:v>
      </x:c>
      <x:c r="B8" s="16" t="str">
        <x:v>D2-D4</x:v>
      </x:c>
      <x:c r="C8" s="19" t="n">
        <x:v>3</x:v>
      </x:c>
      <x:c r="D8" s="16" t="str">
        <x:v>AQ1005-01ETG</x:v>
      </x:c>
      <x:c r="E8" s="16" t="str">
        <x:v>D_SOD-882</x:v>
      </x:c>
      <x:c r="F8" s="16" t="str">
        <x:v>Littelfuse</x:v>
      </x:c>
      <x:c r="G8" s="16" t="str">
        <x:v>AQ1005-01ETG</x:v>
      </x:c>
      <x:c r="H8" s="16" t="str"/>
      <x:c r="I8" s="16" t="str">
        <x:v>Match package and ordering suffix.</x:v>
      </x:c>
      <x:c r="J8" s="16" t="str"/>
    </x:row>
    <x:row r="9" ht="36" customHeight="1">
      <x:c r="A9" s="19" t="n">
        <x:v>8</x:v>
      </x:c>
      <x:c r="B9" s="16" t="str">
        <x:v>D5</x:v>
      </x:c>
      <x:c r="C9" s="19" t="n">
        <x:v>1</x:v>
      </x:c>
      <x:c r="D9" s="16" t="str">
        <x:v>SMBJ16A</x:v>
      </x:c>
      <x:c r="E9" s="16" t="str">
        <x:v>SMBJ16A</x:v>
      </x:c>
      <x:c r="F9" s="16" t="str">
        <x:v>Littelfuse</x:v>
      </x:c>
      <x:c r="G9" s="16" t="str">
        <x:v>SMBJ16A</x:v>
      </x:c>
      <x:c r="H9" s="16" t="str"/>
      <x:c r="I9" s="16" t="str">
        <x:v>Match package and ordering suffix.</x:v>
      </x:c>
      <x:c r="J9" s="16" t="str">
        <x:v>LCSC: C151254</x:v>
      </x:c>
    </x:row>
    <x:row r="10" ht="36" customHeight="1">
      <x:c r="A10" s="19" t="n">
        <x:v>9</x:v>
      </x:c>
      <x:c r="B10" s="16" t="str">
        <x:v>D7,D8</x:v>
      </x:c>
      <x:c r="C10" s="19" t="n">
        <x:v>2</x:v>
      </x:c>
      <x:c r="D10" s="16" t="str">
        <x:v>S1B-13-F</x:v>
      </x:c>
      <x:c r="E10" s="16" t="str">
        <x:v>S1B-13-F</x:v>
      </x:c>
      <x:c r="F10" s="16" t="str">
        <x:v>Diodes Incorporated</x:v>
      </x:c>
      <x:c r="G10" s="16" t="str">
        <x:v>S1B-13-F</x:v>
      </x:c>
      <x:c r="H10" s="16" t="str"/>
      <x:c r="I10" s="16" t="str">
        <x:v>Match package and ordering suffix.</x:v>
      </x:c>
      <x:c r="J10" s="16" t="str">
        <x:v>LCSC: C156295</x:v>
      </x:c>
    </x:row>
    <x:row r="11" ht="36" customHeight="1">
      <x:c r="A11" s="19" t="n">
        <x:v>10</x:v>
      </x:c>
      <x:c r="B11" s="16" t="str">
        <x:v>D9-D15</x:v>
      </x:c>
      <x:c r="C11" s="19" t="n">
        <x:v>7</x:v>
      </x:c>
      <x:c r="D11" s="16" t="str">
        <x:v>AP2012EC</x:v>
      </x:c>
      <x:c r="E11" s="16" t="str">
        <x:v>AP2012EC</x:v>
      </x:c>
      <x:c r="F11" s="16" t="str">
        <x:v>Kingbright</x:v>
      </x:c>
      <x:c r="G11" s="16" t="str">
        <x:v>AP2012EC</x:v>
      </x:c>
      <x:c r="H11" s="16" t="str"/>
      <x:c r="I11" s="16" t="str">
        <x:v>Match package and ordering suffix.</x:v>
      </x:c>
      <x:c r="J11" s="16" t="str"/>
    </x:row>
    <x:row r="12" ht="50" customHeight="1">
      <x:c r="A12" s="19" t="n">
        <x:v>11</x:v>
      </x:c>
      <x:c r="B12" s="16" t="str">
        <x:v>J1</x:v>
      </x:c>
      <x:c r="C12" s="19" t="n">
        <x:v>1</x:v>
      </x:c>
      <x:c r="D12" s="16" t="str">
        <x:v>Conn_02x04_Counter_Clockwise</x:v>
      </x:c>
      <x:c r="E12" s="16" t="str">
        <x:v>WirePad_2x04_P3.0mm</x:v>
      </x:c>
      <x:c r="F12" s="16" t="str"/>
      <x:c r="G12" s="16" t="str"/>
      <x:c r="H12" s="16" t="str"/>
      <x:c r="I12" s="16" t="str">
        <x:v>No part to buy</x:v>
      </x:c>
      <x:c r="J12" s="16" t="str">
        <x:v>Bare through-hole wire pads - solder wires directly. Bare wire pads.</x:v>
      </x:c>
    </x:row>
    <x:row r="13" ht="36" customHeight="1">
      <x:c r="A13" s="19" t="n">
        <x:v>12</x:v>
      </x:c>
      <x:c r="B13" s="16" t="str">
        <x:v>Q1</x:v>
      </x:c>
      <x:c r="C13" s="19" t="n">
        <x:v>1</x:v>
      </x:c>
      <x:c r="D13" s="16" t="str">
        <x:v>AO3400A</x:v>
      </x:c>
      <x:c r="E13" s="16" t="str">
        <x:v>SOT-23</x:v>
      </x:c>
      <x:c r="F13" s="16" t="str">
        <x:v>Alpha &amp; Omega</x:v>
      </x:c>
      <x:c r="G13" s="16" t="str">
        <x:v>AO3400A</x:v>
      </x:c>
      <x:c r="H13" s="16" t="str"/>
      <x:c r="I13" s="16" t="str">
        <x:v>Match package and ordering suffix.</x:v>
      </x:c>
      <x:c r="J13" s="16" t="str">
        <x:v>MPN inferred from value - verify before ordering.</x:v>
      </x:c>
    </x:row>
    <x:row r="14" ht="36" customHeight="1">
      <x:c r="A14" s="19" t="n">
        <x:v>13</x:v>
      </x:c>
      <x:c r="B14" s="16" t="str">
        <x:v>Q2</x:v>
      </x:c>
      <x:c r="C14" s="19" t="n">
        <x:v>1</x:v>
      </x:c>
      <x:c r="D14" s="16" t="str">
        <x:v>AO3401A</x:v>
      </x:c>
      <x:c r="E14" s="16" t="str">
        <x:v>SOT-23</x:v>
      </x:c>
      <x:c r="F14" s="16" t="str">
        <x:v>Alpha &amp; Omega</x:v>
      </x:c>
      <x:c r="G14" s="16" t="str">
        <x:v>AO3401A</x:v>
      </x:c>
      <x:c r="H14" s="16" t="str"/>
      <x:c r="I14" s="16" t="str">
        <x:v>Match package and ordering suffix.</x:v>
      </x:c>
      <x:c r="J14" s="16" t="str">
        <x:v>MPN inferred from value - verify before ordering.</x:v>
      </x:c>
    </x:row>
    <x:row r="15" ht="64" customHeight="1">
      <x:c r="A15" s="19" t="n">
        <x:v>14</x:v>
      </x:c>
      <x:c r="B15" s="16" t="str">
        <x:v>R1,R10,R15,R25</x:v>
      </x:c>
      <x:c r="C15" s="19" t="n">
        <x:v>4</x:v>
      </x:c>
      <x:c r="D15" s="16" t="str">
        <x:v>5.49k</x:v>
      </x:c>
      <x:c r="E15" s="16" t="str">
        <x:v>R_0805_2012Metric_Pad1.20x1.40mm_HandSolder</x:v>
      </x:c>
      <x:c r="F15" s="16" t="str"/>
      <x:c r="G15" s="16" t="str"/>
      <x:c r="H15" s="16" t="str"/>
      <x:c r="I15" s="16" t="str">
        <x:v>Tolerance: 1%; Existing BOM: 0805, 1% (E96 value); Select exact supplier part matching value and footprint.</x:v>
      </x:c>
      <x:c r="J15" s="16" t="str"/>
    </x:row>
    <x:row r="16" ht="64" customHeight="1">
      <x:c r="A16" s="19" t="n">
        <x:v>15</x:v>
      </x:c>
      <x:c r="B16" s="16" t="str">
        <x:v>R2,R4,R5,R9,R13,R17,R24</x:v>
      </x:c>
      <x:c r="C16" s="19" t="n">
        <x:v>7</x:v>
      </x:c>
      <x:c r="D16" s="16" t="str">
        <x:v>5.1k</x:v>
      </x:c>
      <x:c r="E16" s="16" t="str">
        <x:v>R_0805_2012Metric_Pad1.20x1.40mm_HandSolder</x:v>
      </x:c>
      <x:c r="F16" s="16" t="str"/>
      <x:c r="G16" s="16" t="str"/>
      <x:c r="H16" s="16" t="str"/>
      <x:c r="I16" s="16" t="str">
        <x:v>Tolerance: 1%; Existing BOM: 0805, 1% (E96 value); Select exact supplier part matching value and footprint.</x:v>
      </x:c>
      <x:c r="J16" s="16" t="str"/>
    </x:row>
    <x:row r="17" ht="64" customHeight="1">
      <x:c r="A17" s="19" t="n">
        <x:v>16</x:v>
      </x:c>
      <x:c r="B17" s="16" t="str">
        <x:v>R3,R6-R8,R11,R12,R14,R16,R18,R19,R22,R27,R32,R33</x:v>
      </x:c>
      <x:c r="C17" s="19" t="n">
        <x:v>14</x:v>
      </x:c>
      <x:c r="D17" s="16" t="str">
        <x:v>150k</x:v>
      </x:c>
      <x:c r="E17" s="16" t="str">
        <x:v>R_0805_2012Metric_Pad1.20x1.40mm_HandSolder</x:v>
      </x:c>
      <x:c r="F17" s="16" t="str"/>
      <x:c r="G17" s="16" t="str"/>
      <x:c r="H17" s="16" t="str"/>
      <x:c r="I17" s="16" t="str">
        <x:v>Tolerance: 1%; Existing BOM: 0805, 1% (E96 value); Select exact supplier part matching value and footprint.</x:v>
      </x:c>
      <x:c r="J17" s="16" t="str"/>
    </x:row>
    <x:row r="18" ht="64" customHeight="1">
      <x:c r="A18" s="19" t="n">
        <x:v>17</x:v>
      </x:c>
      <x:c r="B18" s="16" t="str">
        <x:v>R20,R30</x:v>
      </x:c>
      <x:c r="C18" s="19" t="n">
        <x:v>2</x:v>
      </x:c>
      <x:c r="D18" s="16" t="str">
        <x:v>54.9k</x:v>
      </x:c>
      <x:c r="E18" s="16" t="str">
        <x:v>R_0805_2012Metric_Pad1.20x1.40mm_HandSolder</x:v>
      </x:c>
      <x:c r="F18" s="16" t="str"/>
      <x:c r="G18" s="16" t="str"/>
      <x:c r="H18" s="16" t="str"/>
      <x:c r="I18" s="16" t="str">
        <x:v>Tolerance: 1%; Existing BOM: 0805, 1% (E96 value); Select exact supplier part matching value and footprint.</x:v>
      </x:c>
      <x:c r="J18" s="16" t="str"/>
    </x:row>
    <x:row r="19" ht="64" customHeight="1">
      <x:c r="A19" s="19" t="n">
        <x:v>18</x:v>
      </x:c>
      <x:c r="B19" s="16" t="str">
        <x:v>R21</x:v>
      </x:c>
      <x:c r="C19" s="19" t="n">
        <x:v>1</x:v>
      </x:c>
      <x:c r="D19" s="16" t="str">
        <x:v>21.5k</x:v>
      </x:c>
      <x:c r="E19" s="16" t="str">
        <x:v>R_0805_2012Metric_Pad1.20x1.40mm_HandSolder</x:v>
      </x:c>
      <x:c r="F19" s="16" t="str"/>
      <x:c r="G19" s="16" t="str"/>
      <x:c r="H19" s="16" t="str"/>
      <x:c r="I19" s="16" t="str">
        <x:v>Tolerance: 1%; Existing BOM: 0805, 1% (E96 value); Select exact supplier part matching value and footprint.</x:v>
      </x:c>
      <x:c r="J19" s="16" t="str"/>
    </x:row>
    <x:row r="20" ht="64" customHeight="1">
      <x:c r="A20" s="19" t="n">
        <x:v>19</x:v>
      </x:c>
      <x:c r="B20" s="16" t="str">
        <x:v>R23</x:v>
      </x:c>
      <x:c r="C20" s="19" t="n">
        <x:v>1</x:v>
      </x:c>
      <x:c r="D20" s="16" t="str">
        <x:v>2.61k</x:v>
      </x:c>
      <x:c r="E20" s="16" t="str">
        <x:v>R_0805_2012Metric_Pad1.20x1.40mm_HandSolder</x:v>
      </x:c>
      <x:c r="F20" s="16" t="str"/>
      <x:c r="G20" s="16" t="str"/>
      <x:c r="H20" s="16" t="str"/>
      <x:c r="I20" s="16" t="str">
        <x:v>Tolerance: 1%; Existing BOM: 0805, 1% (E96 value); Select exact supplier part matching value and footprint.</x:v>
      </x:c>
      <x:c r="J20" s="16" t="str"/>
    </x:row>
    <x:row r="21" ht="64" customHeight="1">
      <x:c r="A21" s="19" t="n">
        <x:v>20</x:v>
      </x:c>
      <x:c r="B21" s="16" t="str">
        <x:v>R26</x:v>
      </x:c>
      <x:c r="C21" s="19" t="n">
        <x:v>1</x:v>
      </x:c>
      <x:c r="D21" s="16" t="str">
        <x:v>7.15k</x:v>
      </x:c>
      <x:c r="E21" s="16" t="str">
        <x:v>R_0805_2012Metric_Pad1.20x1.40mm_HandSolder</x:v>
      </x:c>
      <x:c r="F21" s="16" t="str"/>
      <x:c r="G21" s="16" t="str"/>
      <x:c r="H21" s="16" t="str"/>
      <x:c r="I21" s="16" t="str">
        <x:v>Tolerance: 1%; Existing BOM: 0805, 1% (E96 value); Select exact supplier part matching value and footprint.</x:v>
      </x:c>
      <x:c r="J21" s="16" t="str"/>
    </x:row>
    <x:row r="22" ht="64" customHeight="1">
      <x:c r="A22" s="19" t="n">
        <x:v>21</x:v>
      </x:c>
      <x:c r="B22" s="16" t="str">
        <x:v>R28,R29</x:v>
      </x:c>
      <x:c r="C22" s="19" t="n">
        <x:v>2</x:v>
      </x:c>
      <x:c r="D22" s="16" t="str">
        <x:v>49.9k</x:v>
      </x:c>
      <x:c r="E22" s="16" t="str">
        <x:v>R_0805_2012Metric_Pad1.20x1.40mm_HandSolder</x:v>
      </x:c>
      <x:c r="F22" s="16" t="str"/>
      <x:c r="G22" s="16" t="str"/>
      <x:c r="H22" s="16" t="str"/>
      <x:c r="I22" s="16" t="str">
        <x:v>Tolerance: 1%; Existing BOM: 0805, 1% (E96 value); Select exact supplier part matching value and footprint.</x:v>
      </x:c>
      <x:c r="J22" s="16" t="str"/>
    </x:row>
    <x:row r="23" ht="78" customHeight="1">
      <x:c r="A23" s="19" t="n">
        <x:v>22</x:v>
      </x:c>
      <x:c r="B23" s="16" t="str">
        <x:v>R31,R39-R45</x:v>
      </x:c>
      <x:c r="C23" s="19" t="n">
        <x:v>8</x:v>
      </x:c>
      <x:c r="D23" s="16" t="str">
        <x:v>500</x:v>
      </x:c>
      <x:c r="E23" s="16" t="str">
        <x:v>R_0805_2012Metric_Pad1.20x1.40mm_HandSolder</x:v>
      </x:c>
      <x:c r="F23" s="16" t="str"/>
      <x:c r="G23" s="16" t="str"/>
      <x:c r="H23" s="16" t="str"/>
      <x:c r="I23" s="16" t="str">
        <x:v>Tolerance: 1%; Existing BOM: ORDER 499 ohm (E96 1%) or 510 ohm (E24 5%); Select exact supplier part matching value and footprint.</x:v>
      </x:c>
      <x:c r="J23" s="16" t="str">
        <x:v>"500 ohm" is not a standard 1% value. These are LED series resistors (R39-R45) and R31 gate resistor - exact value is not critical.</x:v>
      </x:c>
    </x:row>
    <x:row r="24" ht="64" customHeight="1">
      <x:c r="A24" s="19" t="n">
        <x:v>23</x:v>
      </x:c>
      <x:c r="B24" s="16" t="str">
        <x:v>R34-R38</x:v>
      </x:c>
      <x:c r="C24" s="19" t="n">
        <x:v>5</x:v>
      </x:c>
      <x:c r="D24" s="16" t="str">
        <x:v>10M</x:v>
      </x:c>
      <x:c r="E24" s="16" t="str">
        <x:v>R_0805_2012Metric_Pad1.20x1.40mm_HandSolder</x:v>
      </x:c>
      <x:c r="F24" s="16" t="str"/>
      <x:c r="G24" s="16" t="str"/>
      <x:c r="H24" s="16" t="str"/>
      <x:c r="I24" s="16" t="str">
        <x:v>Tolerance: 1%; Existing BOM: 1% - high value, check availability; Select exact supplier part matching value and footprint.</x:v>
      </x:c>
      <x:c r="J24" s="16" t="str">
        <x:v>Threshold-node bleed resistors.</x:v>
      </x:c>
    </x:row>
    <x:row r="25" ht="36" customHeight="1">
      <x:c r="A25" s="19" t="n">
        <x:v>24</x:v>
      </x:c>
      <x:c r="B25" s="16" t="str">
        <x:v>R46</x:v>
      </x:c>
      <x:c r="C25" s="19" t="n">
        <x:v>1</x:v>
      </x:c>
      <x:c r="D25" s="16" t="str">
        <x:v>0</x:v>
      </x:c>
      <x:c r="E25" s="16" t="str">
        <x:v>R_0805_2012Metric_Pad1.20x1.40mm_HandSolder</x:v>
      </x:c>
      <x:c r="F25" s="16" t="str"/>
      <x:c r="G25" s="16" t="str"/>
      <x:c r="H25" s="16" t="str"/>
      <x:c r="I25" s="16" t="str">
        <x:v>Select exact supplier part matching value and footprint.</x:v>
      </x:c>
      <x:c r="J25" s="16" t="str"/>
    </x:row>
    <x:row r="26" ht="32" customHeight="1">
      <x:c r="A26" s="19" t="n">
        <x:v>25</x:v>
      </x:c>
      <x:c r="B26" s="16" t="str">
        <x:v>RV1-RV5</x:v>
      </x:c>
      <x:c r="C26" s="19" t="n">
        <x:v>5</x:v>
      </x:c>
      <x:c r="D26" s="16" t="str">
        <x:v>3313J-1-203E</x:v>
      </x:c>
      <x:c r="E26" s="16" t="str">
        <x:v>3313J-1-103E</x:v>
      </x:c>
      <x:c r="F26" s="16" t="str">
        <x:v>Bourns</x:v>
      </x:c>
      <x:c r="G26" s="16" t="str">
        <x:v>3313J-1-203E</x:v>
      </x:c>
      <x:c r="H26" s="16" t="str"/>
      <x:c r="I26" s="16" t="str">
        <x:v>Tolerance: 20%; Resistance: 20k</x:v>
      </x:c>
      <x:c r="J26" s="16" t="str">
        <x:v>LCSC: C124621</x:v>
      </x:c>
    </x:row>
    <x:row r="27" ht="36" customHeight="1">
      <x:c r="A27" s="19" t="n">
        <x:v>26</x:v>
      </x:c>
      <x:c r="B27" s="16" t="str">
        <x:v>SW1,SW2</x:v>
      </x:c>
      <x:c r="C27" s="19" t="n">
        <x:v>2</x:v>
      </x:c>
      <x:c r="D27" s="16" t="str">
        <x:v>CJS-1200TB1</x:v>
      </x:c>
      <x:c r="E27" s="16" t="str">
        <x:v>CJS-1200TB1</x:v>
      </x:c>
      <x:c r="F27" s="16" t="str">
        <x:v>Nidec Components</x:v>
      </x:c>
      <x:c r="G27" s="16" t="str">
        <x:v>CJS-1200TB1</x:v>
      </x:c>
      <x:c r="H27" s="16" t="str"/>
      <x:c r="I27" s="16" t="str">
        <x:v>Match package and ordering suffix.</x:v>
      </x:c>
      <x:c r="J27" s="16" t="str">
        <x:v>LCSC: C2921631</x:v>
      </x:c>
    </x:row>
    <x:row r="28" ht="64" customHeight="1">
      <x:c r="A28" s="19" t="n">
        <x:v>27</x:v>
      </x:c>
      <x:c r="B28" s="16" t="str">
        <x:v>TP1</x:v>
      </x:c>
      <x:c r="C28" s="19" t="n">
        <x:v>1</x:v>
      </x:c>
      <x:c r="D28" s="16" t="str">
        <x:v>TPS1</x:v>
      </x:c>
      <x:c r="E28" s="16" t="str">
        <x:v>TestPoint_Keystone_5000-5004_Miniature</x:v>
      </x:c>
      <x:c r="F28" s="16" t="str"/>
      <x:c r="G28" s="16" t="str"/>
      <x:c r="H28" s="16" t="str"/>
      <x:c r="I28" s="16" t="str">
        <x:v>Existing BOM: Optional - only if you want physical test pins; Optional physical test point; select matching footprint.</x:v>
      </x:c>
      <x:c r="J28" s="16" t="str">
        <x:v>Keystone 5000-5004 miniature test point. Board works without them (bare pad).</x:v>
      </x:c>
    </x:row>
    <x:row r="29" ht="64" customHeight="1">
      <x:c r="A29" s="19" t="n">
        <x:v>28</x:v>
      </x:c>
      <x:c r="B29" s="16" t="str">
        <x:v>TP2</x:v>
      </x:c>
      <x:c r="C29" s="19" t="n">
        <x:v>1</x:v>
      </x:c>
      <x:c r="D29" s="16" t="str">
        <x:v>TPS2</x:v>
      </x:c>
      <x:c r="E29" s="16" t="str">
        <x:v>TestPoint_Keystone_5000-5004_Miniature</x:v>
      </x:c>
      <x:c r="F29" s="16" t="str"/>
      <x:c r="G29" s="16" t="str"/>
      <x:c r="H29" s="16" t="str"/>
      <x:c r="I29" s="16" t="str">
        <x:v>Existing BOM: Optional - only if you want physical test pins; Optional physical test point; select matching footprint.</x:v>
      </x:c>
      <x:c r="J29" s="16" t="str">
        <x:v>Keystone 5000-5004 miniature test point. Board works without them (bare pad).</x:v>
      </x:c>
    </x:row>
    <x:row r="30" ht="64" customHeight="1">
      <x:c r="A30" s="19" t="n">
        <x:v>29</x:v>
      </x:c>
      <x:c r="B30" s="16" t="str">
        <x:v>TP3</x:v>
      </x:c>
      <x:c r="C30" s="19" t="n">
        <x:v>1</x:v>
      </x:c>
      <x:c r="D30" s="16" t="str">
        <x:v>BPS</x:v>
      </x:c>
      <x:c r="E30" s="16" t="str">
        <x:v>TestPoint_Keystone_5000-5004_Miniature</x:v>
      </x:c>
      <x:c r="F30" s="16" t="str"/>
      <x:c r="G30" s="16" t="str"/>
      <x:c r="H30" s="16" t="str"/>
      <x:c r="I30" s="16" t="str">
        <x:v>Existing BOM: Optional - only if you want physical test pins; Optional physical test point; select matching footprint.</x:v>
      </x:c>
      <x:c r="J30" s="16" t="str">
        <x:v>Keystone 5000-5004 miniature test point. Board works without them (bare pad).</x:v>
      </x:c>
    </x:row>
    <x:row r="31" ht="64" customHeight="1">
      <x:c r="A31" s="19" t="n">
        <x:v>30</x:v>
      </x:c>
      <x:c r="B31" s="16" t="str">
        <x:v>TP4</x:v>
      </x:c>
      <x:c r="C31" s="19" t="n">
        <x:v>1</x:v>
      </x:c>
      <x:c r="D31" s="16" t="str">
        <x:v>+0V45</x:v>
      </x:c>
      <x:c r="E31" s="16" t="str">
        <x:v>TestPoint_Keystone_5000-5004_Miniature</x:v>
      </x:c>
      <x:c r="F31" s="16" t="str"/>
      <x:c r="G31" s="16" t="str"/>
      <x:c r="H31" s="16" t="str"/>
      <x:c r="I31" s="16" t="str">
        <x:v>Existing BOM: Optional - only if you want physical test pins; Optional physical test point; select matching footprint.</x:v>
      </x:c>
      <x:c r="J31" s="16" t="str">
        <x:v>Keystone 5000-5004 miniature test point. Board works without them (bare pad).</x:v>
      </x:c>
    </x:row>
    <x:row r="32" ht="64" customHeight="1">
      <x:c r="A32" s="19" t="n">
        <x:v>31</x:v>
      </x:c>
      <x:c r="B32" s="16" t="str">
        <x:v>TP5</x:v>
      </x:c>
      <x:c r="C32" s="19" t="n">
        <x:v>1</x:v>
      </x:c>
      <x:c r="D32" s="16" t="str">
        <x:v>+1V25</x:v>
      </x:c>
      <x:c r="E32" s="16" t="str">
        <x:v>TestPoint_Keystone_5000-5004_Miniature</x:v>
      </x:c>
      <x:c r="F32" s="16" t="str"/>
      <x:c r="G32" s="16" t="str"/>
      <x:c r="H32" s="16" t="str"/>
      <x:c r="I32" s="16" t="str">
        <x:v>Existing BOM: Optional - only if you want physical test pins; Optional physical test point; select matching footprint.</x:v>
      </x:c>
      <x:c r="J32" s="16" t="str">
        <x:v>Keystone 5000-5004 miniature test point. Board works without them (bare pad).</x:v>
      </x:c>
    </x:row>
    <x:row r="33" ht="64" customHeight="1">
      <x:c r="A33" s="19" t="n">
        <x:v>32</x:v>
      </x:c>
      <x:c r="B33" s="16" t="str">
        <x:v>TP6</x:v>
      </x:c>
      <x:c r="C33" s="19" t="n">
        <x:v>1</x:v>
      </x:c>
      <x:c r="D33" s="16" t="str">
        <x:v>+2V5</x:v>
      </x:c>
      <x:c r="E33" s="16" t="str">
        <x:v>TestPoint_Keystone_5000-5004_Miniature</x:v>
      </x:c>
      <x:c r="F33" s="16" t="str"/>
      <x:c r="G33" s="16" t="str"/>
      <x:c r="H33" s="16" t="str"/>
      <x:c r="I33" s="16" t="str">
        <x:v>Existing BOM: Optional - only if you want physical test pins; Optional physical test point; select matching footprint.</x:v>
      </x:c>
      <x:c r="J33" s="16" t="str">
        <x:v>Keystone 5000-5004 miniature test point. Board works without them (bare pad).</x:v>
      </x:c>
    </x:row>
    <x:row r="34" ht="64" customHeight="1">
      <x:c r="A34" s="19" t="n">
        <x:v>33</x:v>
      </x:c>
      <x:c r="B34" s="16" t="str">
        <x:v>TP7</x:v>
      </x:c>
      <x:c r="C34" s="19" t="n">
        <x:v>1</x:v>
      </x:c>
      <x:c r="D34" s="16" t="str">
        <x:v>+4V5</x:v>
      </x:c>
      <x:c r="E34" s="16" t="str">
        <x:v>TestPoint_Keystone_5000-5004_Miniature</x:v>
      </x:c>
      <x:c r="F34" s="16" t="str"/>
      <x:c r="G34" s="16" t="str"/>
      <x:c r="H34" s="16" t="str"/>
      <x:c r="I34" s="16" t="str">
        <x:v>Existing BOM: Optional - only if you want physical test pins; Optional physical test point; select matching footprint.</x:v>
      </x:c>
      <x:c r="J34" s="16" t="str">
        <x:v>Keystone 5000-5004 miniature test point. Board works without them (bare pad).</x:v>
      </x:c>
    </x:row>
    <x:row r="35" ht="36" customHeight="1">
      <x:c r="A35" s="19" t="n">
        <x:v>34</x:v>
      </x:c>
      <x:c r="B35" s="16" t="str">
        <x:v>U1-U4</x:v>
      </x:c>
      <x:c r="C35" s="19" t="n">
        <x:v>4</x:v>
      </x:c>
      <x:c r="D35" s="16" t="str">
        <x:v>TLV1704AIPWR</x:v>
      </x:c>
      <x:c r="E35" s="16" t="str">
        <x:v>TLV1704</x:v>
      </x:c>
      <x:c r="F35" s="16" t="str">
        <x:v>Texas Instruments</x:v>
      </x:c>
      <x:c r="G35" s="16" t="str">
        <x:v>TLV1704AIPWR</x:v>
      </x:c>
      <x:c r="H35" s="16" t="str"/>
      <x:c r="I35" s="16" t="str">
        <x:v>Match package and ordering suffix.</x:v>
      </x:c>
      <x:c r="J35" s="16" t="str"/>
    </x:row>
    <x:row r="36" ht="36" customHeight="1">
      <x:c r="A36" s="19" t="n">
        <x:v>35</x:v>
      </x:c>
      <x:c r="B36" s="16" t="str">
        <x:v>U5</x:v>
      </x:c>
      <x:c r="C36" s="19" t="n">
        <x:v>1</x:v>
      </x:c>
      <x:c r="D36" s="16" t="str">
        <x:v>SN74HC74DR</x:v>
      </x:c>
      <x:c r="E36" s="16" t="str">
        <x:v>SN74HC74DR</x:v>
      </x:c>
      <x:c r="F36" s="16" t="str">
        <x:v>Texas Instruments</x:v>
      </x:c>
      <x:c r="G36" s="16" t="str">
        <x:v>SN74HC74DR</x:v>
      </x:c>
      <x:c r="H36" s="16" t="str"/>
      <x:c r="I36" s="16" t="str">
        <x:v>Match package and ordering suffix.</x:v>
      </x:c>
      <x:c r="J36" s="16" t="str">
        <x:v>LCSC: C6762</x:v>
      </x:c>
    </x:row>
    <x:row r="37" ht="36" customHeight="1">
      <x:c r="A37" s="19" t="n">
        <x:v>36</x:v>
      </x:c>
      <x:c r="B37" s="16" t="str">
        <x:v>U6</x:v>
      </x:c>
      <x:c r="C37" s="19" t="n">
        <x:v>1</x:v>
      </x:c>
      <x:c r="D37" s="16" t="str">
        <x:v>LM1117MP-5.0</x:v>
      </x:c>
      <x:c r="E37" s="16" t="str">
        <x:v>SOT-223-3_TabPin2</x:v>
      </x:c>
      <x:c r="F37" s="16" t="str">
        <x:v>Texas Instruments</x:v>
      </x:c>
      <x:c r="G37" s="16" t="str">
        <x:v>LM1117MP-5.0/NOPB</x:v>
      </x:c>
      <x:c r="H37" s="16" t="str"/>
      <x:c r="I37" s="16" t="str">
        <x:v>Match package and ordering suffix.</x:v>
      </x:c>
      <x:c r="J37" s="16" t="str">
        <x:v>MPN inferred from value - verify before ordering.</x:v>
      </x:c>
    </x:row>
    <x:row r="38" ht="36" customHeight="1">
      <x:c r="A38" s="20" t="n">
        <x:v>37</x:v>
      </x:c>
      <x:c r="B38" s="17" t="str">
        <x:v>U7</x:v>
      </x:c>
      <x:c r="C38" s="20" t="n">
        <x:v>1</x:v>
      </x:c>
      <x:c r="D38" s="17" t="str">
        <x:v>SN74LVC2G14DBVR</x:v>
      </x:c>
      <x:c r="E38" s="17" t="str">
        <x:v>SN74LVC2G14DBVR</x:v>
      </x:c>
      <x:c r="F38" s="17" t="str">
        <x:v>Texas Instruments</x:v>
      </x:c>
      <x:c r="G38" s="17" t="str">
        <x:v>SN74LVC2G14DBVR</x:v>
      </x:c>
      <x:c r="H38" s="17" t="str"/>
      <x:c r="I38" s="17" t="str">
        <x:v>Match package and ordering suffix.</x:v>
      </x:c>
      <x:c r="J38" s="17" t="str">
        <x:v>LCSC: C12401</x:v>
      </x:c>
    </x:row>
    <x:row r="39" ht="36" customHeight="1">
      <x:c r="A39" s="20" t="n">
        <x:v>38</x:v>
      </x:c>
      <x:c r="B39" s="18" t="str">
        <x:v>U8,U9</x:v>
      </x:c>
      <x:c r="C39" s="21" t="n">
        <x:v>2</x:v>
      </x:c>
      <x:c r="D39" s="17" t="str">
        <x:v>SN74LVC3G14DCUR</x:v>
      </x:c>
      <x:c r="E39" s="17" t="str">
        <x:v>SN74LVC3G14DCUR</x:v>
      </x:c>
      <x:c r="F39" s="17" t="str">
        <x:v>Texas Instruments</x:v>
      </x:c>
      <x:c r="G39" s="17" t="str">
        <x:v>SN74LVC3G14DCUR</x:v>
      </x:c>
      <x:c r="H39" s="17" t="str"/>
      <x:c r="I39" s="17" t="str">
        <x:v>Match package and ordering suffix.</x:v>
      </x:c>
      <x:c r="J39" s="17" t="str">
        <x:v>LCSC: C98856</x:v>
      </x:c>
    </x:row>
    <x:row r="41">
      <x:c r="A41" s="24"/>
      <x:c r="B41" s="24" t="str">
        <x:v>TOTAL PLACEMENTS</x:v>
      </x:c>
      <x:c r="C41" s="24" t="n">
        <x:f>SUM(C2:C39)</x:f>
        <x:v>115</x:v>
      </x:c>
      <x:c r="D41" s="24"/>
      <x:c r="E41" s="24"/>
      <x:c r="F41" s="24"/>
      <x:c r="G41" s="24"/>
      <x:c r="H41" s="24"/>
      <x:c r="I41" s="24"/>
      <x:c r="J41" s="24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34" customWidth="1"/>
    <x:col min="2" max="2" width="22" customWidth="1"/>
    <x:col min="3" max="3" width="72" customWidth="1"/>
    <x:col min="4" max="4" width="80" customWidth="1"/>
  </x:cols>
  <x:sheetData>
    <x:row r="1">
      <x:c r="A1" s="5" t="inlineStr">
        <x:is>
          <x:t xml:space="preserve">Item</x:t>
        </x:is>
      </x:c>
      <x:c r="B1" s="5" t="inlineStr">
        <x:is>
          <x:t xml:space="preserve">Severity</x:t>
        </x:is>
      </x:c>
      <x:c r="C1" s="5" t="inlineStr">
        <x:is>
          <x:t xml:space="preserve">What it is</x:t>
        </x:is>
      </x:c>
      <x:c r="D1" s="5" t="inlineStr">
        <x:is>
          <x:t xml:space="preserve">What to do before / when ordering</x:t>
        </x:is>
      </x:c>
    </x:row>
    <x:row r="2">
      <x:c r="A2" s="2" t="inlineStr">
        <x:is>
          <x:t xml:space="preserve">BSP-04  C16 regulator output cap</x:t>
        </x:is>
      </x:c>
      <x:c r="B2" s="2" t="inlineStr">
        <x:is>
          <x:t xml:space="preserve">HIGH</x:t>
        </x:is>
      </x:c>
      <x:c r="C2" s="2" t="inlineStr">
        <x:is>
          <x:t xml:space="preserve">U6 (LM1117MP-5.0) output capacitor C16 is a generic 10uF in an 0805 footprint. TI's datasheet states the output cap ESR must be 0.3-22 ohm and specifies 10uF minimum IF A TANTALUM IS USED. A standard 0805 X5R/X7R MLCC has roughly 0.005 ohm ESR - 60x below TI's minimum - so the loop can oscillate.</x:t>
        </x:is>
      </x:c>
      <x:c r="D2" s="2" t="inlineStr">
        <x:is>
          <x:t xml:space="preserve">The 0805 pads are the HandSolder type (elongated), so a 1206/3216 tantalum can usually be tacked across them. Order BOTH: a 10uF 25V X7R 0805 (default fit) AND a 10uF 16V tantalum (e.g. Kemet T491A/AVX TAJ A-case) as the fallback. At bring-up, scope the 5 V rail for oscillation; if it rings, fit the tantalum.</x:t>
        </x:is>
      </x:c>
    </x:row>
    <x:row r="3">
      <x:c r="A3" s="2" t="inlineStr">
        <x:is>
          <x:t xml:space="preserve">BSP-08  TVS vs regulator rating</x:t>
        </x:is>
      </x:c>
      <x:c r="B3" s="2" t="inlineStr">
        <x:is>
          <x:t xml:space="preserve">HIGH</x:t>
        </x:is>
      </x:c>
      <x:c r="C3" s="2" t="inlineStr">
        <x:is>
          <x:t xml:space="preserve">D5 is an SMBJ16A (16 V standoff) feeding U6 directly. Verified from TI's datasheet: LM1117 absolute max VIN = 20 V, recommended max = 15 V. The SMBJ16A clamps to 26.0 V at its full rated 23.1 A pulse - above the regulator's absolute maximum. Protection coordination is unproven for a large surge.</x:t>
        </x:is>
      </x:c>
      <x:c r="D3" s="2" t="inlineStr">
        <x:is>
          <x:t xml:space="preserve">No board change possible at this revision. Mitigate off-board: make sure there is real series impedance upstream (fuse + harness length) so the TVS never has to clamp at full rated current at the regulator's pins. Treat 'survives supply transients' as a bench item. For v2, consider a 40 V-capable regulator.</x:t>
        </x:is>
      </x:c>
    </x:row>
    <x:row r="4">
      <x:c r="A4" s="6" t="inlineStr">
        <x:is>
          <x:t xml:space="preserve">Timing-cap DC bias  (affects BSP-02 / BSP-05)</x:t>
        </x:is>
      </x:c>
      <x:c r="B4" s="6" t="inlineStr">
        <x:is>
          <x:t xml:space="preserve">MEDIUM</x:t>
        </x:is>
      </x:c>
      <x:c r="C4" s="6" t="inlineStr">
        <x:is>
          <x:t xml:space="preserve">C1 sets the ~1 s trip timer (R7+R8 = 300k into C1 = 4.7uF -&gt; 0.977 s) and C19||C20 = 9.4uF sets the startup preset delay with R32 = 150k. Class-II ceramics (X5R/X7R) lose large amounts of capacitance under DC bias - a 6.3 V or 10 V rated 4.7uF 0805 can drop 30-50% at 5 V, shortening BOTH timings.</x:t>
        </x:is>
      </x:c>
      <x:c r="D4" s="6" t="inlineStr">
        <x:is>
          <x:t xml:space="preserve">Order the 4.7uF parts at 25 V or 50 V rating in 0805 - higher voltage rating means far less derating at 5 V. Then measure both timings on the bench (BSP-05 already accepts the margin, so the measurement is the closing evidence).</x:t>
        </x:is>
      </x:c>
    </x:row>
    <x:row r="5">
      <x:c r="A5" s="3" t="inlineStr">
        <x:is>
          <x:t xml:space="preserve">R31, R39-R45  '500 ohm'</x:t>
        </x:is>
      </x:c>
      <x:c r="B5" s="3" t="inlineStr">
        <x:is>
          <x:t xml:space="preserve">LOW</x:t>
        </x:is>
      </x:c>
      <x:c r="C5" s="3" t="inlineStr">
        <x:is>
          <x:t xml:space="preserve">The schematic value is 500 ohm, which is not a standard E96 (1%) or E24 (5%) value.</x:t>
        </x:is>
      </x:c>
      <x:c r="D5" s="3" t="inlineStr">
        <x:is>
          <x:t xml:space="preserve">Order 499 ohm (E96 1%) or 510 ohm (E24 5%). These are LED series resistors and one gate resistor - the exact value is not critical.</x:t>
        </x:is>
      </x:c>
    </x:row>
    <x:row r="6">
      <x:c r="A6" s="3" t="inlineStr">
        <x:is>
          <x:t xml:space="preserve">TP7 silkscreen label</x:t>
        </x:is>
      </x:c>
      <x:c r="B6" s="3" t="inlineStr">
        <x:is>
          <x:t xml:space="preserve">LOW (cosmetic, but permanent)</x:t>
        </x:is>
      </x:c>
      <x:c r="C6" s="3" t="inlineStr">
        <x:is>
          <x:t xml:space="preserve">TP7 connects to net +4V7 (the divider produces ~4.75 V) but its silkscreen label reads '+4V5'. Once the PCB is fabricated this is permanent.</x:t>
        </x:is>
      </x:c>
      <x:c r="D6" s="3" t="inlineStr">
        <x:is>
          <x:t xml:space="preserve">If you have not sent the PCB yet, change TP7's value/label to +4V7. Otherwise just note it - the test point is electrically correct, only the label is wrong.</x:t>
        </x:is>
      </x:c>
    </x:row>
    <x:row r="7">
      <x:c r="A7" s="3" t="inlineStr">
        <x:is>
          <x:t xml:space="preserve">Silkscreen text height</x:t>
        </x:is>
      </x:c>
      <x:c r="B7" s="3" t="inlineStr">
        <x:is>
          <x:t xml:space="preserve">LOW (cosmetic)</x:t>
        </x:is>
      </x:c>
      <x:c r="C7" s="3" t="inlineStr">
        <x:is>
          <x:t xml:space="preserve">Seven silkscreen labels (BPS, FLT, TP1, HB, TPx10, LATCH, TP2) are 0.9 mm; JLCPCB's stated minimum legible silk text height is 1.0 mm.</x:t>
        </x:is>
      </x:c>
      <x:c r="D7" s="3" t="inlineStr">
        <x:is>
          <x:t xml:space="preserve">JLCPCB will still print them, just less crisply. Bump to 1.0 mm if you are doing another layout pass anyway.</x:t>
        </x:is>
      </x:c>
    </x:row>
    <x:row r="8">
      <x:c r="A8" s="3" t="inlineStr">
        <x:is>
          <x:t xml:space="preserve">BSP-03  Threshold calibration</x:t>
        </x:is>
      </x:c>
      <x:c r="B8" s="3" t="inlineStr">
        <x:is>
          <x:t xml:space="preserve">OPEN - not a board change</x:t>
        </x:is>
      </x:c>
      <x:c r="C8" s="3" t="inlineStr">
        <x:is>
          <x:t xml:space="preserve">The adjustable thresholds (RV1-RV5, SW1/SW2) cannot be set correctly without measured sensor characteristics from the actual car.</x:t>
        </x:is>
      </x:c>
      <x:c r="D8" s="3" t="inlineStr">
        <x:is>
          <x:t xml:space="preserve">Confirm the throttle-body and brake-pressure sensor part numbers, measure their endpoints, then set and secure the trimmers. This is commissioning work, not a fab blocker.</x:t>
        </x:is>
      </x:c>
    </x:row>
    <x:row r="9">
      <x:c r="A9" s="3" t="inlineStr">
        <x:is>
          <x:t xml:space="preserve">BSP-01  Sensor-loss timing</x:t>
        </x:is>
      </x:c>
      <x:c r="B9" s="3" t="inlineStr">
        <x:is>
          <x:t xml:space="preserve">OPEN - engineering note only</x:t>
        </x:is>
      </x:c>
      <x:c r="C9" s="3" t="inlineStr">
        <x:is>
          <x:t xml:space="preserve">Retained as an engineering note; the review records no mandatory PCB change.</x:t>
        </x:is>
      </x:c>
      <x:c r="D9" s="3" t="inlineStr">
        <x:is>
          <x:t xml:space="preserve">Optional characterisation if your validation plan includes the sensor-loss case.</x:t>
        </x:is>
      </x:c>
    </x:row>
    <x:row r="11" ht="65" customHeight="1">
      <x:c r="A11" s="14" t="str">
        <x:v>Supplier selection</x:v>
      </x:c>
      <x:c r="B11" s="14" t="str">
        <x:v>TO COMPLETE</x:v>
      </x:c>
      <x:c r="C11" s="14" t="str">
        <x:v>Rows without an exact MPN require part selection.</x:v>
      </x:c>
      <x:c r="D11" s="14" t="str">
        <x:v>Use the value, footprint and listed specifications. Blank DigiKey numbers have not been sourced.</x:v>
      </x:c>
    </x:row>
    <x:row r="12" ht="65" customHeight="1">
      <x:c r="A12" s="14" t="str">
        <x:v>DigiKey Upload</x:v>
      </x:c>
      <x:c r="B12" s="14" t="str">
        <x:v>SCOPE</x:v>
      </x:c>
      <x:c r="C12" s="14" t="str">
        <x:v>Only explicit schematic MPNs and non-inferred existing BOM MPNs are included.</x:v>
      </x:c>
      <x:c r="D12" s="14" t="str">
        <x:v>Resolve rows with missing or inferred part numbers on the BOM before adding them to an order.</x:v>
      </x:c>
    </x:row>
    <x:row r="13" ht="65" customHeight="1">
      <x:c r="A13" s="14" t="str">
        <x:v>Quantity basis</x:v>
      </x:c>
      <x:c r="B13" s="14" t="str">
        <x:v>INFO</x:v>
      </x:c>
      <x:c r="C13" s="14" t="str">
        <x:v>115 BOM-included board items; one board.</x:v>
      </x:c>
      <x:c r="D13" s="14" t="str">
        <x:v>Excludes: G***, G***, G***, H1, H2, H3, H4. Optional test points and bare wire pads may not require purchased parts.</x:v>
      </x:c>
    </x:row>
    <x:row r="14" ht="65" customHeight="1">
      <x:c r="A14" s="14" t="str">
        <x:v>Source</x:v>
      </x:c>
      <x:c r="B14" s="14" t="str">
        <x:v>INFO</x:v>
      </x:c>
      <x:c r="C14" s="14" t="str">
        <x:v>Current bspd.kicad_pcb and matching schematic, 2026-09-15.</x:v>
      </x:c>
      <x:c r="D14" s="14" t="str">
        <x:v>Quantities and footprints use the PCB. Part metadata uses the schematic.</x:v>
      </x:c>
    </x:row>
    <x:row r="15" ht="65" customHeight="1">
      <x:c r="A15" s="14" t="str">
        <x:v>Capacitor voltage specifications</x:v>
      </x:c>
      <x:c r="B15" s="14" t="str">
        <x:v>CHECK</x:v>
      </x:c>
      <x:c r="C15" s="14" t="str">
        <x:v>The schematic uses 16V for timing/decoupling capacitors; the existing BOM recommends higher ratings.</x:v>
      </x:c>
      <x:c r="D15" s="14" t="str">
        <x:v>Both source specifications are retained on the BOM. Resolve the purchasing rating before ordering.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30" customWidth="1"/>
    <x:col min="2" max="2" width="10" customWidth="1"/>
    <x:col min="3" max="3" width="34" customWidth="1"/>
  </x:cols>
  <x:sheetData>
    <x:row r="1">
      <x:c r="A1" s="7" t="inlineStr">
        <x:is>
          <x:t xml:space="preserve">Manufacturer Part Number</x:t>
        </x:is>
      </x:c>
      <x:c r="B1" s="7" t="inlineStr">
        <x:is>
          <x:t xml:space="preserve">Quantity</x:t>
        </x:is>
      </x:c>
      <x:c r="C1" s="7" t="inlineStr">
        <x:is>
          <x:t xml:space="preserve">Customer Reference</x:t>
        </x:is>
      </x:c>
    </x:row>
    <x:row r="2" ht="25" customHeight="1">
      <x:c r="A2" t="str">
        <x:v>AQ1005-01ETG</x:v>
      </x:c>
      <x:c r="B2" s="25" t="n">
        <x:v>3</x:v>
      </x:c>
      <x:c r="C2" t="str">
        <x:v>D2-D4</x:v>
      </x:c>
    </x:row>
    <x:row r="3" ht="25" customHeight="1">
      <x:c r="A3" t="str">
        <x:v>SMBJ16A</x:v>
      </x:c>
      <x:c r="B3" s="25" t="n">
        <x:v>1</x:v>
      </x:c>
      <x:c r="C3" t="str">
        <x:v>D5</x:v>
      </x:c>
    </x:row>
    <x:row r="4" ht="25" customHeight="1">
      <x:c r="A4" t="str">
        <x:v>S1B-13-F</x:v>
      </x:c>
      <x:c r="B4" s="25" t="n">
        <x:v>2</x:v>
      </x:c>
      <x:c r="C4" t="str">
        <x:v>D7,D8</x:v>
      </x:c>
    </x:row>
    <x:row r="5" ht="25" customHeight="1">
      <x:c r="A5" t="str">
        <x:v>AP2012EC</x:v>
      </x:c>
      <x:c r="B5" s="25" t="n">
        <x:v>7</x:v>
      </x:c>
      <x:c r="C5" t="str">
        <x:v>D9-D15</x:v>
      </x:c>
    </x:row>
    <x:row r="6" ht="25" customHeight="1">
      <x:c r="A6" t="str">
        <x:v>3313J-1-203E</x:v>
      </x:c>
      <x:c r="B6" s="25" t="n">
        <x:v>5</x:v>
      </x:c>
      <x:c r="C6" t="str">
        <x:v>RV1-RV5</x:v>
      </x:c>
    </x:row>
    <x:row r="7" ht="25" customHeight="1">
      <x:c r="A7" t="str">
        <x:v>CJS-1200TB1</x:v>
      </x:c>
      <x:c r="B7" s="25" t="n">
        <x:v>2</x:v>
      </x:c>
      <x:c r="C7" t="str">
        <x:v>SW1,SW2</x:v>
      </x:c>
    </x:row>
    <x:row r="8" ht="25" customHeight="1">
      <x:c r="A8" t="str">
        <x:v>TLV1704AIPWR</x:v>
      </x:c>
      <x:c r="B8" s="25" t="n">
        <x:v>4</x:v>
      </x:c>
      <x:c r="C8" t="str">
        <x:v>U1-U4</x:v>
      </x:c>
    </x:row>
    <x:row r="9" ht="25" customHeight="1">
      <x:c r="A9" t="str">
        <x:v>SN74HC74DR</x:v>
      </x:c>
      <x:c r="B9" s="25" t="n">
        <x:v>1</x:v>
      </x:c>
      <x:c r="C9" t="str">
        <x:v>U5</x:v>
      </x:c>
    </x:row>
    <x:row r="10" ht="25" customHeight="1">
      <x:c r="A10" t="str">
        <x:v>SN74LVC2G14DBVR</x:v>
      </x:c>
      <x:c r="B10" s="25" t="n">
        <x:v>1</x:v>
      </x:c>
      <x:c r="C10" t="str">
        <x:v>U7</x:v>
      </x:c>
    </x:row>
    <x:row r="11" ht="25" customHeight="1">
      <x:c r="A11" t="str">
        <x:v>SN74LVC3G14DCUR</x:v>
      </x:c>
      <x:c r="B11" s="25" t="n">
        <x:v>2</x:v>
      </x:c>
      <x:c r="C11" t="str">
        <x:v>U8,U9</x:v>
      </x:c>
    </x:row>
    <x:row r="12">
      <x:c r="A12"/>
      <x:c r="B12"/>
      <x:c r="C12"/>
    </x:row>
    <x:row r="13" ht="34" customHeight="1">
      <x:c r="A13" s="26" t="str">
        <x:v>Only source-specified MPNs are listed. Complete missing or inferred part numbers on the BOM before ordering.</x:v>
      </x:c>
      <x:c r="B13" s="26"/>
      <x:c r="C13" s="26"/>
    </x:row>
    <x:row r="14">
      <x:c r="A14"/>
      <x:c r="B14"/>
      <x:c r="C14"/>
    </x:row>
    <x:row r="15">
      <x:c r="A15"/>
      <x:c r="B15"/>
      <x:c r="C15"/>
    </x:row>
    <x:row r="17">
      <x:c r="A17"/>
    </x:row>
    <x:row r="18">
      <x:c r="A18"/>
    </x:row>
  </x:sheetData>
  <x:mergeCells>
    <x:mergeCell ref="A13:C13"/>
  </x:mergeCells>
  <x:pageMargins left="0.7" right="0.7" top="0.75" bottom="0.75" header="0.3" footer="0.3"/>
</x:worksheet>
</file>